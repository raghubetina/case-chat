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ada0f1475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6a9b0b8740b4552"/>
    <x:sheet xmlns:r="http://schemas.openxmlformats.org/officeDocument/2006/relationships" name="County Data" sheetId="2" r:id="R11eca928f942470c"/>
    <x:sheet xmlns:r="http://schemas.openxmlformats.org/officeDocument/2006/relationships" name="Depot Supply" sheetId="3" r:id="Rc17f5606072540f5"/>
    <x:sheet xmlns:r="http://schemas.openxmlformats.org/officeDocument/2006/relationships" name="Lane Data" sheetId="4" r:id="Rdead494f19d74bfa"/>
    <x:sheet xmlns:r="http://schemas.openxmlformats.org/officeDocument/2006/relationships" name="Modeling Questions" sheetId="5" r:id="R06a6524be221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.00x"/>
    <x:numFmt numFmtId="203" formatCode="0%"/>
    <x:numFmt numFmtId="204" formatCode="0.0"/>
    <x:numFmt numFmtId="205" formatCode="$#,##0"/>
    <x:numFmt numFmtId="206" formatCode="0.0%"/>
  </x:numFmts>
  <x:fonts count="6">
    <x:font>
      <x:sz val="11"/>
      <x:name val="Carlito"/>
    </x:font>
    <x:font>
      <x:b/>
      <x:sz val="18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sz val="10"/>
      <x:color rgb="FF55555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F3F6FA"/>
      </x:patternFill>
    </x:fill>
  </x:fills>
  <x:borders count="11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9E1EA"/>
      </x:left>
      <x:top style="thin">
        <x:color rgb="FFD9E1EA"/>
      </x:top>
    </x:border>
    <x:border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2" fillId="4" borderId="1" xfId="0" applyNumberFormat="1" applyFont="1" applyFill="1" applyBorder="1" applyAlignment="1">
      <x:alignment vertical="center"/>
    </x:xf>
    <x:xf numFmtId="204" fontId="2" fillId="4" borderId="1" xfId="0" applyNumberFormat="1" applyFont="1" applyFill="1" applyBorder="1" applyAlignment="1">
      <x:alignment vertical="center"/>
    </x:xf>
    <x:xf numFmtId="205" fontId="2" fillId="4" borderId="1" xfId="0" applyNumberFormat="1" applyFont="1" applyFill="1" applyBorder="1" applyAlignment="1">
      <x:alignment vertical="center"/>
    </x:xf>
    <x:xf numFmtId="206" fontId="2" fillId="4" borderId="1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1560ffcf54760" /><Relationship Type="http://schemas.openxmlformats.org/officeDocument/2006/relationships/theme" Target="/xl/theme/theme1.xml" Id="Rd2170d765fce47f5" /><Relationship Type="http://schemas.openxmlformats.org/officeDocument/2006/relationships/sharedStrings" Target="/xl/sharedStrings.xml" Id="Rc81f99d94a984a59" /><Relationship Type="http://schemas.openxmlformats.org/officeDocument/2006/relationships/worksheet" Target="/xl/worksheets/sheet1.xml" Id="Rd6a9b0b8740b4552" /><Relationship Type="http://schemas.openxmlformats.org/officeDocument/2006/relationships/worksheet" Target="/xl/worksheets/sheet2.xml" Id="R11eca928f942470c" /><Relationship Type="http://schemas.openxmlformats.org/officeDocument/2006/relationships/worksheet" Target="/xl/worksheets/sheet3.xml" Id="Rc17f5606072540f5" /><Relationship Type="http://schemas.openxmlformats.org/officeDocument/2006/relationships/worksheet" Target="/xl/worksheets/sheet4.xml" Id="Rdead494f19d74bfa" /><Relationship Type="http://schemas.openxmlformats.org/officeDocument/2006/relationships/worksheet" Target="/xl/worksheets/sheet5.xml" Id="R06a6524be221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4" hidden="0" customWidth="1"/>
    <x:col min="4" max="4" width="28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1" customHeight="1">
      <x:c r="A1" s="3" t="str">
        <x:v>Meridian Vaccine Allocation - Student Data Workbook</x:v>
      </x:c>
      <x:c r="B1" s="3" t="str">
        <x:v>Meridian Vaccine Allocation - Student Data Workbook</x:v>
      </x:c>
      <x:c r="C1" s="3" t="str">
        <x:v>Meridian Vaccine Allocation - Student Data Workbook</x:v>
      </x:c>
      <x:c r="D1" s="3" t="str">
        <x:v>Meridian Vaccine Allocation - Student Data Workbook</x:v>
      </x:c>
      <x:c r="E1" s="3" t="str">
        <x:v>Meridian Vaccine Allocation - Student Data Workbook</x:v>
      </x:c>
      <x:c r="F1" s="3" t="str">
        <x:v>Meridian Vaccine Allocation - Student Data Workbook</x:v>
      </x:c>
      <x:c r="G1" s="3" t="str">
        <x:v>Meridian Vaccine Allocation - Student Data Workbook</x:v>
      </x:c>
      <x:c r="H1" s="3" t="str">
        <x:v>Meridian Vaccine Allocation - Student Data Workbook</x:v>
      </x:c>
    </x:row>
    <x:row r="3">
      <x:c r="A3" s="7" t="str">
        <x:v>Setting</x:v>
      </x:c>
      <x:c r="B3" s="8" t="str">
        <x:v>Fictional one-week vaccine allocation decision across eight counties and three depots.</x:v>
      </x:c>
      <x:c r="D3" s="13" t="str">
        <x:v>Workbook total</x:v>
      </x:c>
      <x:c r="E3" s="13" t="str">
        <x:v>Formula-driven value</x:v>
      </x:c>
    </x:row>
    <x:row r="4">
      <x:c r="A4" s="7" t="str">
        <x:v>Available supply</x:v>
      </x:c>
      <x:c r="B4" s="8" t="str">
        <x:v>50,000 doses</x:v>
      </x:c>
      <x:c r="D4" s="7" t="str">
        <x:v>Requested doses</x:v>
      </x:c>
      <x:c r="E4" s="17" t="n">
        <x:f>SUM('County Data'!B4:B11)</x:f>
        <x:v>83500</x:v>
      </x:c>
    </x:row>
    <x:row r="5">
      <x:c r="A5" s="7" t="str">
        <x:v>County requests</x:v>
      </x:c>
      <x:c r="B5" s="8" t="str">
        <x:v>83,500 doses</x:v>
      </x:c>
      <x:c r="D5" s="7" t="str">
        <x:v>Administration capacity</x:v>
      </x:c>
      <x:c r="E5" s="17" t="n">
        <x:f>SUM('County Data'!C4:C11)</x:f>
        <x:v>73700</x:v>
      </x:c>
    </x:row>
    <x:row r="6">
      <x:c r="A6" s="7" t="str">
        <x:v>Administration capacity</x:v>
      </x:c>
      <x:c r="B6" s="8" t="str">
        <x:v>73,700 doses</x:v>
      </x:c>
      <x:c r="D6" s="7" t="str">
        <x:v>Base supply</x:v>
      </x:c>
      <x:c r="E6" s="17" t="n">
        <x:f>SUM('Depot Supply'!B4:B6)</x:f>
        <x:v>50000</x:v>
      </x:c>
    </x:row>
    <x:row r="7">
      <x:c r="A7" s="7" t="str">
        <x:v>Central tension</x:v>
      </x:c>
      <x:c r="B7" s="8" t="str">
        <x:v>Supply is insufficient, so the allocation rule determines who waits.</x:v>
      </x:c>
      <x:c r="D7" s="7" t="str">
        <x:v>Supply shortfall vs. requests</x:v>
      </x:c>
      <x:c r="E7" s="17" t="n">
        <x:f>E4-E6</x:f>
        <x:v>33500</x:v>
      </x:c>
    </x:row>
    <x:row r="8">
      <x:c r="A8" s="7" t="str">
        <x:v>Important</x:v>
      </x:c>
      <x:c r="B8" s="8" t="str">
        <x:v>The workbook intentionally does not specify one objective or one definition of equity.</x:v>
      </x:c>
    </x:row>
    <x:row r="10">
      <x:c r="D10" s="19" t="str">
        <x:v>Source note</x:v>
      </x:c>
      <x:c r="E10" s="19" t="str">
        <x:v>Source note</x:v>
      </x:c>
      <x:c r="F10" s="19" t="str">
        <x:v>Source note</x:v>
      </x:c>
      <x:c r="G10" s="19" t="str">
        <x:v>Source note</x:v>
      </x:c>
      <x:c r="H10" s="19" t="str">
        <x:v>Source note</x:v>
      </x:c>
    </x:row>
    <x:row r="11">
      <x:c r="A11" s="13" t="str">
        <x:v>Color</x:v>
      </x:c>
      <x:c r="B11" s="13" t="str">
        <x:v>Meaning</x:v>
      </x:c>
      <x:c r="D11" s="38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E11" s="39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F11" s="39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G11" s="39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H11" s="40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</x:row>
    <x:row r="12">
      <x:c r="A12" s="14" t="str">
        <x:v>Light yellow</x:v>
      </x:c>
      <x:c r="B12" s="6" t="str">
        <x:v>Instructor-provided planning input</x:v>
      </x:c>
      <x:c r="D12" s="41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E12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F12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G12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H12" s="43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</x:row>
    <x:row r="13">
      <x:c r="A13" s="15" t="str">
        <x:v>Light blue</x:v>
      </x:c>
      <x:c r="B13" s="6" t="str">
        <x:v>Header or calculated summary</x:v>
      </x:c>
      <x:c r="D13" s="41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E13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F13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G13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H13" s="43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</x:row>
    <x:row r="14">
      <x:c r="A14" s="16" t="str">
        <x:v>Red flag</x:v>
      </x:c>
      <x:c r="B14" s="6" t="str">
        <x:v>A failed feasibility or consistency check</x:v>
      </x:c>
      <x:c r="D14" s="41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E14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F14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G14" s="42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H14" s="43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</x:row>
    <x:row r="15">
      <x:c r="D15" s="44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E15" s="45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F15" s="45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G15" s="45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  <x:c r="H15" s="46" t="str">
        <x:v>Conceptual inspiration: Vaccine_Assignment_HW(1).pdf, supplied by the instructor. The Meridian organization, counties, depots, policy facts, and all numerical data are newly created and fictional. The materials are for optimization teaching, not clinical or public-health use.</x:v>
      </x:c>
    </x:row>
  </x:sheetData>
  <x:mergeCells>
    <x:mergeCell ref="A1:H1"/>
    <x:mergeCell ref="D10:H10"/>
    <x:mergeCell ref="D11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12" hidden="0" customWidth="1"/>
    <x:col min="8" max="8" width="54" hidden="0" customWidth="1"/>
  </x:cols>
  <x:sheetData>
    <x:row r="1" ht="31" customHeight="1">
      <x:c r="A1" s="3" t="str">
        <x:v>County Requests, Capacity, and Planning Indicators</x:v>
      </x:c>
      <x:c r="B1" s="3" t="str">
        <x:v>County Requests, Capacity, and Planning Indicators</x:v>
      </x:c>
      <x:c r="C1" s="3" t="str">
        <x:v>County Requests, Capacity, and Planning Indicators</x:v>
      </x:c>
      <x:c r="D1" s="3" t="str">
        <x:v>County Requests, Capacity, and Planning Indicators</x:v>
      </x:c>
      <x:c r="E1" s="3" t="str">
        <x:v>County Requests, Capacity, and Planning Indicators</x:v>
      </x:c>
      <x:c r="F1" s="3" t="str">
        <x:v>County Requests, Capacity, and Planning Indicators</x:v>
      </x:c>
      <x:c r="G1" s="3" t="str">
        <x:v>County Requests, Capacity, and Planning Indicators</x:v>
      </x:c>
      <x:c r="H1" s="3" t="str">
        <x:v>County Requests, Capacity, and Planning Indicators</x:v>
      </x:c>
    </x:row>
    <x:row r="3">
      <x:c r="A3" s="13" t="str">
        <x:v>County</x:v>
      </x:c>
      <x:c r="B3" s="13" t="str">
        <x:v>Requested doses</x:v>
      </x:c>
      <x:c r="C3" s="13" t="str">
        <x:v>Admin. capacity</x:v>
      </x:c>
      <x:c r="D3" s="13" t="str">
        <x:v>Priority population</x:v>
      </x:c>
      <x:c r="E3" s="13" t="str">
        <x:v>Vulnerability index</x:v>
      </x:c>
      <x:c r="F3" s="13" t="str">
        <x:v>Severe-risk multiplier</x:v>
      </x:c>
      <x:c r="G3" s="13" t="str">
        <x:v>Rural?</x:v>
      </x:c>
      <x:c r="H3" s="13" t="str">
        <x:v>Interpretation note</x:v>
      </x:c>
    </x:row>
    <x:row r="4">
      <x:c r="A4" s="14" t="str">
        <x:v>Alder</x:v>
      </x:c>
      <x:c r="B4" s="47" t="n">
        <x:v>12000</x:v>
      </x:c>
      <x:c r="C4" s="47" t="n">
        <x:v>11000</x:v>
      </x:c>
      <x:c r="D4" s="47" t="n">
        <x:v>6200</x:v>
      </x:c>
      <x:c r="E4" s="48" t="n">
        <x:v>0.82</x:v>
      </x:c>
      <x:c r="F4" s="49" t="n">
        <x:v>1.25</x:v>
      </x:c>
      <x:c r="G4" s="14" t="str">
        <x:v>Yes</x:v>
      </x:c>
      <x:c r="H4" s="8" t="str">
        <x:v>Index values are relative planning measures, not probabilities or clinical diagnoses.</x:v>
      </x:c>
    </x:row>
    <x:row r="5">
      <x:c r="A5" s="14" t="str">
        <x:v>Benton</x:v>
      </x:c>
      <x:c r="B5" s="47" t="n">
        <x:v>10000</x:v>
      </x:c>
      <x:c r="C5" s="47" t="n">
        <x:v>9500</x:v>
      </x:c>
      <x:c r="D5" s="47" t="n">
        <x:v>4100</x:v>
      </x:c>
      <x:c r="E5" s="48" t="n">
        <x:v>0.43</x:v>
      </x:c>
      <x:c r="F5" s="49" t="n">
        <x:v>0.9</x:v>
      </x:c>
      <x:c r="G5" s="14" t="str">
        <x:v>No</x:v>
      </x:c>
      <x:c r="H5" s="8" t="str">
        <x:v>Index values are relative planning measures, not probabilities or clinical diagnoses.</x:v>
      </x:c>
    </x:row>
    <x:row r="6">
      <x:c r="A6" s="14" t="str">
        <x:v>Clearwater</x:v>
      </x:c>
      <x:c r="B6" s="47" t="n">
        <x:v>9000</x:v>
      </x:c>
      <x:c r="C6" s="47" t="n">
        <x:v>7200</x:v>
      </x:c>
      <x:c r="D6" s="47" t="n">
        <x:v>4800</x:v>
      </x:c>
      <x:c r="E6" s="48" t="n">
        <x:v>0.76</x:v>
      </x:c>
      <x:c r="F6" s="49" t="n">
        <x:v>1.1</x:v>
      </x:c>
      <x:c r="G6" s="14" t="str">
        <x:v>Yes</x:v>
      </x:c>
      <x:c r="H6" s="8" t="str">
        <x:v>Index values are relative planning measures, not probabilities or clinical diagnoses.</x:v>
      </x:c>
    </x:row>
    <x:row r="7">
      <x:c r="A7" s="14" t="str">
        <x:v>Dover</x:v>
      </x:c>
      <x:c r="B7" s="47" t="n">
        <x:v>14000</x:v>
      </x:c>
      <x:c r="C7" s="47" t="n">
        <x:v>13000</x:v>
      </x:c>
      <x:c r="D7" s="47" t="n">
        <x:v>5000</x:v>
      </x:c>
      <x:c r="E7" s="48" t="n">
        <x:v>0.35</x:v>
      </x:c>
      <x:c r="F7" s="49" t="n">
        <x:v>0.8</x:v>
      </x:c>
      <x:c r="G7" s="14" t="str">
        <x:v>No</x:v>
      </x:c>
      <x:c r="H7" s="8" t="str">
        <x:v>Index values are relative planning measures, not probabilities or clinical diagnoses.</x:v>
      </x:c>
    </x:row>
    <x:row r="8">
      <x:c r="A8" s="14" t="str">
        <x:v>Easton</x:v>
      </x:c>
      <x:c r="B8" s="47" t="n">
        <x:v>8500</x:v>
      </x:c>
      <x:c r="C8" s="47" t="n">
        <x:v>7500</x:v>
      </x:c>
      <x:c r="D8" s="47" t="n">
        <x:v>4700</x:v>
      </x:c>
      <x:c r="E8" s="48" t="n">
        <x:v>0.88</x:v>
      </x:c>
      <x:c r="F8" s="49" t="n">
        <x:v>1.3</x:v>
      </x:c>
      <x:c r="G8" s="14" t="str">
        <x:v>No</x:v>
      </x:c>
      <x:c r="H8" s="8" t="str">
        <x:v>Index values are relative planning measures, not probabilities or clinical diagnoses.</x:v>
      </x:c>
    </x:row>
    <x:row r="9">
      <x:c r="A9" s="14" t="str">
        <x:v>Franklin</x:v>
      </x:c>
      <x:c r="B9" s="47" t="n">
        <x:v>11500</x:v>
      </x:c>
      <x:c r="C9" s="47" t="n">
        <x:v>10000</x:v>
      </x:c>
      <x:c r="D9" s="47" t="n">
        <x:v>3800</x:v>
      </x:c>
      <x:c r="E9" s="48" t="n">
        <x:v>0.58</x:v>
      </x:c>
      <x:c r="F9" s="49" t="n">
        <x:v>0.95</x:v>
      </x:c>
      <x:c r="G9" s="14" t="str">
        <x:v>No</x:v>
      </x:c>
      <x:c r="H9" s="8" t="str">
        <x:v>Index values are relative planning measures, not probabilities or clinical diagnoses.</x:v>
      </x:c>
    </x:row>
    <x:row r="10">
      <x:c r="A10" s="14" t="str">
        <x:v>Grove</x:v>
      </x:c>
      <x:c r="B10" s="47" t="n">
        <x:v>7500</x:v>
      </x:c>
      <x:c r="C10" s="47" t="n">
        <x:v>6500</x:v>
      </x:c>
      <x:c r="D10" s="47" t="n">
        <x:v>4200</x:v>
      </x:c>
      <x:c r="E10" s="48" t="n">
        <x:v>0.91</x:v>
      </x:c>
      <x:c r="F10" s="49" t="n">
        <x:v>1.35</x:v>
      </x:c>
      <x:c r="G10" s="14" t="str">
        <x:v>Yes</x:v>
      </x:c>
      <x:c r="H10" s="8" t="str">
        <x:v>Index values are relative planning measures, not probabilities or clinical diagnoses.</x:v>
      </x:c>
    </x:row>
    <x:row r="11">
      <x:c r="A11" s="14" t="str">
        <x:v>Harbor</x:v>
      </x:c>
      <x:c r="B11" s="47" t="n">
        <x:v>11000</x:v>
      </x:c>
      <x:c r="C11" s="47" t="n">
        <x:v>9000</x:v>
      </x:c>
      <x:c r="D11" s="47" t="n">
        <x:v>4300</x:v>
      </x:c>
      <x:c r="E11" s="48" t="n">
        <x:v>0.49</x:v>
      </x:c>
      <x:c r="F11" s="49" t="n">
        <x:v>1</x:v>
      </x:c>
      <x:c r="G11" s="14" t="str">
        <x:v>No</x:v>
      </x:c>
      <x:c r="H11" s="8" t="str">
        <x:v>Index values are relative planning measures, not probabilities or clinical diagnoses.</x:v>
      </x:c>
    </x:row>
    <x:row r="13">
      <x:c r="A13" s="7" t="str">
        <x:v>Total / average</x:v>
      </x:c>
      <x:c r="B13" s="50" t="n">
        <x:f>SUM(B4:B11)</x:f>
        <x:v>83500</x:v>
      </x:c>
      <x:c r="C13" s="50" t="n">
        <x:f>SUM(C4:C11)</x:f>
        <x:v>73700</x:v>
      </x:c>
      <x:c r="D13" s="50" t="n">
        <x:f>SUM(D4:D11)</x:f>
        <x:v>37100</x:v>
      </x:c>
      <x:c r="E13" s="51" t="n">
        <x:f>AVERAGE(E4:E11)</x:f>
        <x:v>0.6525</x:v>
      </x:c>
      <x:c r="F13" s="52" t="n">
        <x:f>AVERAGE(F4:F11)</x:f>
        <x:v>1.08125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58" hidden="0" customWidth="1"/>
  </x:cols>
  <x:sheetData>
    <x:row r="1" ht="31" customHeight="1">
      <x:c r="A1" s="3" t="str">
        <x:v>Supply Available at Distribution Depots</x:v>
      </x:c>
      <x:c r="B1" s="3" t="str">
        <x:v>Supply Available at Distribution Depots</x:v>
      </x:c>
      <x:c r="C1" s="3" t="str">
        <x:v>Supply Available at Distribution Depots</x:v>
      </x:c>
      <x:c r="D1" s="3" t="str">
        <x:v>Supply Available at Distribution Depots</x:v>
      </x:c>
      <x:c r="E1" s="3" t="str">
        <x:v>Supply Available at Distribution Depots</x:v>
      </x:c>
    </x:row>
    <x:row r="3">
      <x:c r="A3" s="13" t="str">
        <x:v>Depot</x:v>
      </x:c>
      <x:c r="B3" s="13" t="str">
        <x:v>Base supply</x:v>
      </x:c>
      <x:c r="C3" s="13" t="str">
        <x:v>Low scenario (-15%)</x:v>
      </x:c>
      <x:c r="D3" s="13" t="str">
        <x:v>High scenario (+15%)</x:v>
      </x:c>
      <x:c r="E3" s="13" t="str">
        <x:v>Planning note</x:v>
      </x:c>
    </x:row>
    <x:row r="4">
      <x:c r="A4" s="14" t="str">
        <x:v>North Depot</x:v>
      </x:c>
      <x:c r="B4" s="47" t="n">
        <x:v>20000</x:v>
      </x:c>
      <x:c r="C4" s="17" t="n">
        <x:f>B4*(1-$C$9)</x:f>
        <x:v>17000</x:v>
      </x:c>
      <x:c r="D4" s="17" t="n">
        <x:f>B4*(1+$C$9)</x:f>
        <x:v>23000</x:v>
      </x:c>
      <x:c r="E4" s="8" t="str">
        <x:v>Doses arrive Monday and expire after the planning week.</x:v>
      </x:c>
    </x:row>
    <x:row r="5">
      <x:c r="A5" s="14" t="str">
        <x:v>Central Depot</x:v>
      </x:c>
      <x:c r="B5" s="47" t="n">
        <x:v>17000</x:v>
      </x:c>
      <x:c r="C5" s="17" t="n">
        <x:f>B5*(1-$C$9)</x:f>
        <x:v>14450</x:v>
      </x:c>
      <x:c r="D5" s="17" t="n">
        <x:f>B5*(1+$C$9)</x:f>
        <x:v>19550</x:v>
      </x:c>
      <x:c r="E5" s="8" t="str">
        <x:v>Depot inventories cannot be transferred before allocation.</x:v>
      </x:c>
    </x:row>
    <x:row r="6">
      <x:c r="A6" s="14" t="str">
        <x:v>Coastal Depot</x:v>
      </x:c>
      <x:c r="B6" s="47" t="n">
        <x:v>13000</x:v>
      </x:c>
      <x:c r="C6" s="17" t="n">
        <x:f>B6*(1-$C$9)</x:f>
        <x:v>11050</x:v>
      </x:c>
      <x:c r="D6" s="17" t="n">
        <x:f>B6*(1+$C$9)</x:f>
        <x:v>14949.999999999998</x:v>
      </x:c>
      <x:c r="E6" s="8" t="str">
        <x:v>Unused doses have no carryover value in the base narrative.</x:v>
      </x:c>
    </x:row>
    <x:row r="8">
      <x:c r="B8" s="13" t="str">
        <x:v>Scenario adjustment</x:v>
      </x:c>
      <x:c r="C8" s="13" t="str">
        <x:v>Value</x:v>
      </x:c>
    </x:row>
    <x:row r="9">
      <x:c r="B9" s="6" t="str">
        <x:v>Supply change</x:v>
      </x:c>
      <x:c r="C9" s="53" t="n">
        <x:v>0.15</x:v>
      </x:c>
    </x:row>
    <x:row r="11">
      <x:c r="A11" s="7" t="str">
        <x:v>Total</x:v>
      </x:c>
      <x:c r="B11" s="50" t="n">
        <x:f>SUM(B4:B6)</x:f>
        <x:v>50000</x:v>
      </x:c>
      <x:c r="C11" s="50" t="n">
        <x:f>SUM(C4:C6)</x:f>
        <x:v>42500</x:v>
      </x:c>
      <x:c r="D11" s="50" t="n">
        <x:f>SUM(D4:D6)</x:f>
        <x:v>57500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2" hidden="0" customWidth="1"/>
    <x:col min="5" max="5" width="21" hidden="0" customWidth="1"/>
    <x:col min="6" max="6" width="21" hidden="0" customWidth="1"/>
    <x:col min="7" max="7" width="55" hidden="0" customWidth="1"/>
  </x:cols>
  <x:sheetData>
    <x:row r="1" ht="31" customHeight="1">
      <x:c r="A1" s="3" t="str">
        <x:v>Depot-to-County Transportation Lanes</x:v>
      </x:c>
      <x:c r="B1" s="3" t="str">
        <x:v>Depot-to-County Transportation Lanes</x:v>
      </x:c>
      <x:c r="C1" s="3" t="str">
        <x:v>Depot-to-County Transportation Lanes</x:v>
      </x:c>
      <x:c r="D1" s="3" t="str">
        <x:v>Depot-to-County Transportation Lanes</x:v>
      </x:c>
      <x:c r="E1" s="3" t="str">
        <x:v>Depot-to-County Transportation Lanes</x:v>
      </x:c>
      <x:c r="F1" s="3" t="str">
        <x:v>Depot-to-County Transportation Lanes</x:v>
      </x:c>
      <x:c r="G1" s="3" t="str">
        <x:v>Depot-to-County Transportation Lanes</x:v>
      </x:c>
    </x:row>
    <x:row r="3">
      <x:c r="A3" s="13" t="str">
        <x:v>Depot</x:v>
      </x:c>
      <x:c r="B3" s="13" t="str">
        <x:v>County</x:v>
      </x:c>
      <x:c r="C3" s="13" t="str">
        <x:v>Travel time (hours)</x:v>
      </x:c>
      <x:c r="D3" s="13" t="str">
        <x:v>Cost per 1,000 doses</x:v>
      </x:c>
      <x:c r="E3" s="13" t="str">
        <x:v>Cold-chain reliability</x:v>
      </x:c>
      <x:c r="F3" s="13" t="str">
        <x:v>Expected loss per 1,000</x:v>
      </x:c>
      <x:c r="G3" s="13" t="str">
        <x:v>Planning note</x:v>
      </x:c>
    </x:row>
    <x:row r="4">
      <x:c r="A4" s="14" t="str">
        <x:v>North Depot</x:v>
      </x:c>
      <x:c r="B4" s="14" t="str">
        <x:v>Alder</x:v>
      </x:c>
      <x:c r="C4" s="54" t="n">
        <x:v>1.2</x:v>
      </x:c>
      <x:c r="D4" s="55" t="n">
        <x:v>620</x:v>
      </x:c>
      <x:c r="E4" s="56" t="n">
        <x:v>0.97</x:v>
      </x:c>
      <x:c r="F4" s="57" t="n">
        <x:f>(1-E4)*1000</x:f>
        <x:v>30.00000000000003</x:v>
      </x:c>
      <x:c r="G4" s="8" t="str">
        <x:v>Reliability is an estimate of the share expected to remain usable on this lane.</x:v>
      </x:c>
    </x:row>
    <x:row r="5">
      <x:c r="A5" s="14" t="str">
        <x:v>North Depot</x:v>
      </x:c>
      <x:c r="B5" s="14" t="str">
        <x:v>Benton</x:v>
      </x:c>
      <x:c r="C5" s="54" t="n">
        <x:v>0.8</x:v>
      </x:c>
      <x:c r="D5" s="55" t="n">
        <x:v>480</x:v>
      </x:c>
      <x:c r="E5" s="56" t="n">
        <x:v>0.975</x:v>
      </x:c>
      <x:c r="F5" s="57" t="n">
        <x:f>(1-E5)*1000</x:f>
        <x:v>25.00000000000002</x:v>
      </x:c>
      <x:c r="G5" s="8" t="str">
        <x:v>Reliability is an estimate of the share expected to remain usable on this lane.</x:v>
      </x:c>
    </x:row>
    <x:row r="6">
      <x:c r="A6" s="14" t="str">
        <x:v>North Depot</x:v>
      </x:c>
      <x:c r="B6" s="14" t="str">
        <x:v>Clearwater</x:v>
      </x:c>
      <x:c r="C6" s="54" t="n">
        <x:v>3.1</x:v>
      </x:c>
      <x:c r="D6" s="55" t="n">
        <x:v>1040</x:v>
      </x:c>
      <x:c r="E6" s="56" t="n">
        <x:v>0.955</x:v>
      </x:c>
      <x:c r="F6" s="57" t="n">
        <x:f>(1-E6)*1000</x:f>
        <x:v>45.00000000000004</x:v>
      </x:c>
      <x:c r="G6" s="8" t="str">
        <x:v>Reliability is an estimate of the share expected to remain usable on this lane.</x:v>
      </x:c>
    </x:row>
    <x:row r="7">
      <x:c r="A7" s="14" t="str">
        <x:v>North Depot</x:v>
      </x:c>
      <x:c r="B7" s="14" t="str">
        <x:v>Dover</x:v>
      </x:c>
      <x:c r="C7" s="54" t="n">
        <x:v>1.4</x:v>
      </x:c>
      <x:c r="D7" s="55" t="n">
        <x:v>690</x:v>
      </x:c>
      <x:c r="E7" s="56" t="n">
        <x:v>0.97</x:v>
      </x:c>
      <x:c r="F7" s="57" t="n">
        <x:f>(1-E7)*1000</x:f>
        <x:v>30.00000000000003</x:v>
      </x:c>
      <x:c r="G7" s="8" t="str">
        <x:v>Reliability is an estimate of the share expected to remain usable on this lane.</x:v>
      </x:c>
    </x:row>
    <x:row r="8">
      <x:c r="A8" s="14" t="str">
        <x:v>North Depot</x:v>
      </x:c>
      <x:c r="B8" s="14" t="str">
        <x:v>Easton</x:v>
      </x:c>
      <x:c r="C8" s="54" t="n">
        <x:v>3.5</x:v>
      </x:c>
      <x:c r="D8" s="55" t="n">
        <x:v>1160</x:v>
      </x:c>
      <x:c r="E8" s="56" t="n">
        <x:v>0.95</x:v>
      </x:c>
      <x:c r="F8" s="57" t="n">
        <x:f>(1-E8)*1000</x:f>
        <x:v>50.00000000000004</x:v>
      </x:c>
      <x:c r="G8" s="8" t="str">
        <x:v>Reliability is an estimate of the share expected to remain usable on this lane.</x:v>
      </x:c>
    </x:row>
    <x:row r="9">
      <x:c r="A9" s="14" t="str">
        <x:v>North Depot</x:v>
      </x:c>
      <x:c r="B9" s="14" t="str">
        <x:v>Franklin</x:v>
      </x:c>
      <x:c r="C9" s="54" t="n">
        <x:v>2.4</x:v>
      </x:c>
      <x:c r="D9" s="55" t="n">
        <x:v>870</x:v>
      </x:c>
      <x:c r="E9" s="56" t="n">
        <x:v>0.965</x:v>
      </x:c>
      <x:c r="F9" s="57" t="n">
        <x:f>(1-E9)*1000</x:f>
        <x:v>35.00000000000003</x:v>
      </x:c>
      <x:c r="G9" s="8" t="str">
        <x:v>Reliability is an estimate of the share expected to remain usable on this lane.</x:v>
      </x:c>
    </x:row>
    <x:row r="10">
      <x:c r="A10" s="14" t="str">
        <x:v>North Depot</x:v>
      </x:c>
      <x:c r="B10" s="14" t="str">
        <x:v>Grove</x:v>
      </x:c>
      <x:c r="C10" s="54" t="n">
        <x:v>4</x:v>
      </x:c>
      <x:c r="D10" s="55" t="n">
        <x:v>1280</x:v>
      </x:c>
      <x:c r="E10" s="56" t="n">
        <x:v>0.94</x:v>
      </x:c>
      <x:c r="F10" s="57" t="n">
        <x:f>(1-E10)*1000</x:f>
        <x:v>60.00000000000006</x:v>
      </x:c>
      <x:c r="G10" s="8" t="str">
        <x:v>Reliability is an estimate of the share expected to remain usable on this lane.</x:v>
      </x:c>
    </x:row>
    <x:row r="11">
      <x:c r="A11" s="14" t="str">
        <x:v>North Depot</x:v>
      </x:c>
      <x:c r="B11" s="14" t="str">
        <x:v>Harbor</x:v>
      </x:c>
      <x:c r="C11" s="54" t="n">
        <x:v>3.2</x:v>
      </x:c>
      <x:c r="D11" s="55" t="n">
        <x:v>1080</x:v>
      </x:c>
      <x:c r="E11" s="56" t="n">
        <x:v>0.955</x:v>
      </x:c>
      <x:c r="F11" s="57" t="n">
        <x:f>(1-E11)*1000</x:f>
        <x:v>45.00000000000004</x:v>
      </x:c>
      <x:c r="G11" s="8" t="str">
        <x:v>Reliability is an estimate of the share expected to remain usable on this lane.</x:v>
      </x:c>
    </x:row>
    <x:row r="12">
      <x:c r="A12" s="14" t="str">
        <x:v>Central Depot</x:v>
      </x:c>
      <x:c r="B12" s="14" t="str">
        <x:v>Alder</x:v>
      </x:c>
      <x:c r="C12" s="54" t="n">
        <x:v>2.8</x:v>
      </x:c>
      <x:c r="D12" s="55" t="n">
        <x:v>940</x:v>
      </x:c>
      <x:c r="E12" s="56" t="n">
        <x:v>0.985</x:v>
      </x:c>
      <x:c r="F12" s="57" t="n">
        <x:f>(1-E12)*1000</x:f>
        <x:v>15.000000000000014</x:v>
      </x:c>
      <x:c r="G12" s="8" t="str">
        <x:v>Reliability is an estimate of the share expected to remain usable on this lane.</x:v>
      </x:c>
    </x:row>
    <x:row r="13">
      <x:c r="A13" s="14" t="str">
        <x:v>Central Depot</x:v>
      </x:c>
      <x:c r="B13" s="14" t="str">
        <x:v>Benton</x:v>
      </x:c>
      <x:c r="C13" s="54" t="n">
        <x:v>2.4</x:v>
      </x:c>
      <x:c r="D13" s="55" t="n">
        <x:v>820</x:v>
      </x:c>
      <x:c r="E13" s="56" t="n">
        <x:v>0.99</x:v>
      </x:c>
      <x:c r="F13" s="57" t="n">
        <x:f>(1-E13)*1000</x:f>
        <x:v>10.000000000000009</x:v>
      </x:c>
      <x:c r="G13" s="8" t="str">
        <x:v>Reliability is an estimate of the share expected to remain usable on this lane.</x:v>
      </x:c>
    </x:row>
    <x:row r="14">
      <x:c r="A14" s="14" t="str">
        <x:v>Central Depot</x:v>
      </x:c>
      <x:c r="B14" s="14" t="str">
        <x:v>Clearwater</x:v>
      </x:c>
      <x:c r="C14" s="54" t="n">
        <x:v>1</x:v>
      </x:c>
      <x:c r="D14" s="55" t="n">
        <x:v>520</x:v>
      </x:c>
      <x:c r="E14" s="56" t="n">
        <x:v>0.975</x:v>
      </x:c>
      <x:c r="F14" s="57" t="n">
        <x:f>(1-E14)*1000</x:f>
        <x:v>25.00000000000002</x:v>
      </x:c>
      <x:c r="G14" s="8" t="str">
        <x:v>Reliability is an estimate of the share expected to remain usable on this lane.</x:v>
      </x:c>
    </x:row>
    <x:row r="15">
      <x:c r="A15" s="14" t="str">
        <x:v>Central Depot</x:v>
      </x:c>
      <x:c r="B15" s="14" t="str">
        <x:v>Dover</x:v>
      </x:c>
      <x:c r="C15" s="54" t="n">
        <x:v>2.2</x:v>
      </x:c>
      <x:c r="D15" s="55" t="n">
        <x:v>760</x:v>
      </x:c>
      <x:c r="E15" s="56" t="n">
        <x:v>0.985</x:v>
      </x:c>
      <x:c r="F15" s="57" t="n">
        <x:f>(1-E15)*1000</x:f>
        <x:v>15.000000000000014</x:v>
      </x:c>
      <x:c r="G15" s="8" t="str">
        <x:v>Reliability is an estimate of the share expected to remain usable on this lane.</x:v>
      </x:c>
    </x:row>
    <x:row r="16">
      <x:c r="A16" s="14" t="str">
        <x:v>Central Depot</x:v>
      </x:c>
      <x:c r="B16" s="14" t="str">
        <x:v>Easton</x:v>
      </x:c>
      <x:c r="C16" s="54" t="n">
        <x:v>0.9</x:v>
      </x:c>
      <x:c r="D16" s="55" t="n">
        <x:v>470</x:v>
      </x:c>
      <x:c r="E16" s="56" t="n">
        <x:v>0.98</x:v>
      </x:c>
      <x:c r="F16" s="57" t="n">
        <x:f>(1-E16)*1000</x:f>
        <x:v>20.000000000000018</x:v>
      </x:c>
      <x:c r="G16" s="8" t="str">
        <x:v>Reliability is an estimate of the share expected to remain usable on this lane.</x:v>
      </x:c>
    </x:row>
    <x:row r="17">
      <x:c r="A17" s="14" t="str">
        <x:v>Central Depot</x:v>
      </x:c>
      <x:c r="B17" s="14" t="str">
        <x:v>Franklin</x:v>
      </x:c>
      <x:c r="C17" s="54" t="n">
        <x:v>2.7</x:v>
      </x:c>
      <x:c r="D17" s="55" t="n">
        <x:v>900</x:v>
      </x:c>
      <x:c r="E17" s="56" t="n">
        <x:v>0.97</x:v>
      </x:c>
      <x:c r="F17" s="57" t="n">
        <x:f>(1-E17)*1000</x:f>
        <x:v>30.00000000000003</x:v>
      </x:c>
      <x:c r="G17" s="8" t="str">
        <x:v>Reliability is an estimate of the share expected to remain usable on this lane.</x:v>
      </x:c>
    </x:row>
    <x:row r="18">
      <x:c r="A18" s="14" t="str">
        <x:v>Central Depot</x:v>
      </x:c>
      <x:c r="B18" s="14" t="str">
        <x:v>Grove</x:v>
      </x:c>
      <x:c r="C18" s="54" t="n">
        <x:v>1.4</x:v>
      </x:c>
      <x:c r="D18" s="55" t="n">
        <x:v>590</x:v>
      </x:c>
      <x:c r="E18" s="56" t="n">
        <x:v>0.978</x:v>
      </x:c>
      <x:c r="F18" s="57" t="n">
        <x:f>(1-E18)*1000</x:f>
        <x:v>22.00000000000002</x:v>
      </x:c>
      <x:c r="G18" s="8" t="str">
        <x:v>Reliability is an estimate of the share expected to remain usable on this lane.</x:v>
      </x:c>
    </x:row>
    <x:row r="19">
      <x:c r="A19" s="14" t="str">
        <x:v>Central Depot</x:v>
      </x:c>
      <x:c r="B19" s="14" t="str">
        <x:v>Harbor</x:v>
      </x:c>
      <x:c r="C19" s="54" t="n">
        <x:v>3.1</x:v>
      </x:c>
      <x:c r="D19" s="55" t="n">
        <x:v>1020</x:v>
      </x:c>
      <x:c r="E19" s="56" t="n">
        <x:v>0.965</x:v>
      </x:c>
      <x:c r="F19" s="57" t="n">
        <x:f>(1-E19)*1000</x:f>
        <x:v>35.00000000000003</x:v>
      </x:c>
      <x:c r="G19" s="8" t="str">
        <x:v>Reliability is an estimate of the share expected to remain usable on this lane.</x:v>
      </x:c>
    </x:row>
    <x:row r="20">
      <x:c r="A20" s="14" t="str">
        <x:v>Coastal Depot</x:v>
      </x:c>
      <x:c r="B20" s="14" t="str">
        <x:v>Alder</x:v>
      </x:c>
      <x:c r="C20" s="54" t="n">
        <x:v>3.4</x:v>
      </x:c>
      <x:c r="D20" s="55" t="n">
        <x:v>1110</x:v>
      </x:c>
      <x:c r="E20" s="56" t="n">
        <x:v>0.99</x:v>
      </x:c>
      <x:c r="F20" s="57" t="n">
        <x:f>(1-E20)*1000</x:f>
        <x:v>10.000000000000009</x:v>
      </x:c>
      <x:c r="G20" s="8" t="str">
        <x:v>Reliability is an estimate of the share expected to remain usable on this lane.</x:v>
      </x:c>
    </x:row>
    <x:row r="21">
      <x:c r="A21" s="14" t="str">
        <x:v>Coastal Depot</x:v>
      </x:c>
      <x:c r="B21" s="14" t="str">
        <x:v>Benton</x:v>
      </x:c>
      <x:c r="C21" s="54" t="n">
        <x:v>2.9</x:v>
      </x:c>
      <x:c r="D21" s="55" t="n">
        <x:v>980</x:v>
      </x:c>
      <x:c r="E21" s="56" t="n">
        <x:v>0.985</x:v>
      </x:c>
      <x:c r="F21" s="57" t="n">
        <x:f>(1-E21)*1000</x:f>
        <x:v>15.000000000000014</x:v>
      </x:c>
      <x:c r="G21" s="8" t="str">
        <x:v>Reliability is an estimate of the share expected to remain usable on this lane.</x:v>
      </x:c>
    </x:row>
    <x:row r="22">
      <x:c r="A22" s="14" t="str">
        <x:v>Coastal Depot</x:v>
      </x:c>
      <x:c r="B22" s="14" t="str">
        <x:v>Clearwater</x:v>
      </x:c>
      <x:c r="C22" s="54" t="n">
        <x:v>3</x:v>
      </x:c>
      <x:c r="D22" s="55" t="n">
        <x:v>1030</x:v>
      </x:c>
      <x:c r="E22" s="56" t="n">
        <x:v>0.985</x:v>
      </x:c>
      <x:c r="F22" s="57" t="n">
        <x:f>(1-E22)*1000</x:f>
        <x:v>15.000000000000014</x:v>
      </x:c>
      <x:c r="G22" s="8" t="str">
        <x:v>Reliability is an estimate of the share expected to remain usable on this lane.</x:v>
      </x:c>
    </x:row>
    <x:row r="23">
      <x:c r="A23" s="14" t="str">
        <x:v>Coastal Depot</x:v>
      </x:c>
      <x:c r="B23" s="14" t="str">
        <x:v>Dover</x:v>
      </x:c>
      <x:c r="C23" s="54" t="n">
        <x:v>1.7</x:v>
      </x:c>
      <x:c r="D23" s="55" t="n">
        <x:v>720</x:v>
      </x:c>
      <x:c r="E23" s="56" t="n">
        <x:v>0.975</x:v>
      </x:c>
      <x:c r="F23" s="57" t="n">
        <x:f>(1-E23)*1000</x:f>
        <x:v>25.00000000000002</x:v>
      </x:c>
      <x:c r="G23" s="8" t="str">
        <x:v>Reliability is an estimate of the share expected to remain usable on this lane.</x:v>
      </x:c>
    </x:row>
    <x:row r="24">
      <x:c r="A24" s="14" t="str">
        <x:v>Coastal Depot</x:v>
      </x:c>
      <x:c r="B24" s="14" t="str">
        <x:v>Easton</x:v>
      </x:c>
      <x:c r="C24" s="54" t="n">
        <x:v>3.2</x:v>
      </x:c>
      <x:c r="D24" s="55" t="n">
        <x:v>1090</x:v>
      </x:c>
      <x:c r="E24" s="56" t="n">
        <x:v>0.99</x:v>
      </x:c>
      <x:c r="F24" s="57" t="n">
        <x:f>(1-E24)*1000</x:f>
        <x:v>10.000000000000009</x:v>
      </x:c>
      <x:c r="G24" s="8" t="str">
        <x:v>Reliability is an estimate of the share expected to remain usable on this lane.</x:v>
      </x:c>
    </x:row>
    <x:row r="25">
      <x:c r="A25" s="14" t="str">
        <x:v>Coastal Depot</x:v>
      </x:c>
      <x:c r="B25" s="14" t="str">
        <x:v>Franklin</x:v>
      </x:c>
      <x:c r="C25" s="54" t="n">
        <x:v>1.1</x:v>
      </x:c>
      <x:c r="D25" s="55" t="n">
        <x:v>510</x:v>
      </x:c>
      <x:c r="E25" s="56" t="n">
        <x:v>0.985</x:v>
      </x:c>
      <x:c r="F25" s="57" t="n">
        <x:f>(1-E25)*1000</x:f>
        <x:v>15.000000000000014</x:v>
      </x:c>
      <x:c r="G25" s="8" t="str">
        <x:v>Reliability is an estimate of the share expected to remain usable on this lane.</x:v>
      </x:c>
    </x:row>
    <x:row r="26">
      <x:c r="A26" s="14" t="str">
        <x:v>Coastal Depot</x:v>
      </x:c>
      <x:c r="B26" s="14" t="str">
        <x:v>Grove</x:v>
      </x:c>
      <x:c r="C26" s="54" t="n">
        <x:v>2.8</x:v>
      </x:c>
      <x:c r="D26" s="55" t="n">
        <x:v>960</x:v>
      </x:c>
      <x:c r="E26" s="56" t="n">
        <x:v>0.99</x:v>
      </x:c>
      <x:c r="F26" s="57" t="n">
        <x:f>(1-E26)*1000</x:f>
        <x:v>10.000000000000009</x:v>
      </x:c>
      <x:c r="G26" s="8" t="str">
        <x:v>Reliability is an estimate of the share expected to remain usable on this lane.</x:v>
      </x:c>
    </x:row>
    <x:row r="27">
      <x:c r="A27" s="14" t="str">
        <x:v>Coastal Depot</x:v>
      </x:c>
      <x:c r="B27" s="14" t="str">
        <x:v>Harbor</x:v>
      </x:c>
      <x:c r="C27" s="54" t="n">
        <x:v>0.8</x:v>
      </x:c>
      <x:c r="D27" s="55" t="n">
        <x:v>450</x:v>
      </x:c>
      <x:c r="E27" s="56" t="n">
        <x:v>0.98</x:v>
      </x:c>
      <x:c r="F27" s="57" t="n">
        <x:f>(1-E27)*1000</x:f>
        <x:v>20.000000000000018</x:v>
      </x:c>
      <x:c r="G27" s="8" t="str">
        <x:v>Reliability is an estimate of the share expected to remain usable on this lane.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45" hidden="0" customWidth="1"/>
  </x:cols>
  <x:sheetData>
    <x:row r="1" ht="31" customHeight="1">
      <x:c r="A1" s="3" t="str">
        <x:v>Questions the Case Intentionally Leaves Open</x:v>
      </x:c>
      <x:c r="B1" s="3" t="str">
        <x:v>Questions the Case Intentionally Leaves Open</x:v>
      </x:c>
      <x:c r="C1" s="3" t="str">
        <x:v>Questions the Case Intentionally Leaves Open</x:v>
      </x:c>
      <x:c r="D1" s="3" t="str">
        <x:v>Questions the Case Intentionally Leaves Open</x:v>
      </x:c>
      <x:c r="E1" s="3" t="str">
        <x:v>Questions the Case Intentionally Leaves Open</x:v>
      </x:c>
      <x:c r="F1" s="3" t="str">
        <x:v>Questions the Case Intentionally Leaves Open</x:v>
      </x:c>
    </x:row>
    <x:row r="3">
      <x:c r="A3" s="13" t="str">
        <x:v>Unresolved choice</x:v>
      </x:c>
      <x:c r="B3" s="13" t="str">
        <x:v>Examples of defensible interpretations</x:v>
      </x:c>
      <x:c r="C3" s="13" t="str">
        <x:v>Why it can change the solution</x:v>
      </x:c>
    </x:row>
    <x:row r="4">
      <x:c r="A4" s="7" t="str">
        <x:v>Objective</x:v>
      </x:c>
      <x:c r="B4" s="8" t="str">
        <x:v>Maximize expected usable doses; maximize risk-weighted benefit; maximize the worst coverage rate; minimize logistics cost subject to service promises.</x:v>
      </x:c>
      <x:c r="C4" s="8" t="str">
        <x:v>Limited supply makes priorities binding.</x:v>
      </x:c>
    </x:row>
    <x:row r="5">
      <x:c r="A5" s="7" t="str">
        <x:v>Equity</x:v>
      </x:c>
      <x:c r="B5" s="8" t="str">
        <x:v>Equal doses, equal fulfillment percentages, minimum floors, priority-population protection, vulnerability-weighted allocation.</x:v>
      </x:c>
      <x:c r="C5" s="8" t="str">
        <x:v>Each definition protects different counties.</x:v>
      </x:c>
    </x:row>
    <x:row r="6">
      <x:c r="A6" s="7" t="str">
        <x:v>Cold-chain reliability</x:v>
      </x:c>
      <x:c r="B6" s="8" t="str">
        <x:v>Treat as expected yield, a hard lane standard, a penalty, or a scenario.</x:v>
      </x:c>
      <x:c r="C6" s="8" t="str">
        <x:v>Cheaper lanes are not always more reliable.</x:v>
      </x:c>
    </x:row>
    <x:row r="7">
      <x:c r="A7" s="7" t="str">
        <x:v>Granularity</x:v>
      </x:c>
      <x:c r="B7" s="8" t="str">
        <x:v>Continuous doses, 500-dose pallets, or 1,000-dose pallets.</x:v>
      </x:c>
      <x:c r="C7" s="8" t="str">
        <x:v>Discrete pallets can make policy floors infeasible or force over-allocation.</x:v>
      </x:c>
    </x:row>
    <x:row r="8">
      <x:c r="A8" s="7" t="str">
        <x:v>Use of supply</x:v>
      </x:c>
      <x:c r="B8" s="8" t="str">
        <x:v>Ship everything because doses expire, or permit a reserve for disruptions.</x:v>
      </x:c>
      <x:c r="C8" s="8" t="str">
        <x:v>A reserve directly reduces current coverage.</x:v>
      </x:c>
    </x:row>
    <x:row r="9">
      <x:c r="A9" s="7" t="str">
        <x:v>Fairness denominator</x:v>
      </x:c>
      <x:c r="B9" s="8" t="str">
        <x:v>Requested doses, administration capacity, priority population, or total population.</x:v>
      </x:c>
      <x:c r="C9" s="8" t="str">
        <x:v>Coverage comparisons are not neutral to the denominator.</x:v>
      </x:c>
    </x:row>
    <x:row r="10">
      <x:c r="A10" s="7" t="str">
        <x:v>Uncertainty</x:v>
      </x:c>
      <x:c r="B10" s="8" t="str">
        <x:v>Plan to base supply, a low scenario, or a robust guarantee.</x:v>
      </x:c>
      <x:c r="C10" s="8" t="str">
        <x:v>A policy feasible at 50,000 doses may fail when supply is delayed.</x:v>
      </x:c>
    </x:row>
  </x:sheetData>
  <x:mergeCells>
    <x:mergeCell ref="A1:F1"/>
  </x:mergeCells>
  <x:pageMargins left="0.7" right="0.7" top="0.75" bottom="0.75" header="0.3" footer="0.3"/>
</x:worksheet>
</file>